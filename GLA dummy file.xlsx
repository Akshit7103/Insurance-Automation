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ikhil.bamble\OneDrive - Protiviti Member Firm\Desktop\"/>
    </mc:Choice>
  </mc:AlternateContent>
  <xr:revisionPtr revIDLastSave="0" documentId="8_{DB87BEFE-31D3-4D4B-9E37-A616136850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<sst xmlns="http://schemas.openxmlformats.org/spreadsheetml/2006/main" count="30" uniqueCount="24">
  <si>
    <t>B</t>
  </si>
  <si>
    <t>AC</t>
  </si>
  <si>
    <t>AH</t>
  </si>
  <si>
    <t>AS</t>
  </si>
  <si>
    <t>AW</t>
  </si>
  <si>
    <t>AZ</t>
  </si>
  <si>
    <t>BA</t>
  </si>
  <si>
    <t>Status</t>
  </si>
  <si>
    <t>PREM TERM</t>
  </si>
  <si>
    <t>PREMCESDTE</t>
  </si>
  <si>
    <t>ORIGINAL_SA</t>
  </si>
  <si>
    <t>NEXT_PAYDATE</t>
  </si>
  <si>
    <t>TAT for Payment Due date</t>
  </si>
  <si>
    <t>Protiviti GLA Calculation</t>
  </si>
  <si>
    <t>IF</t>
  </si>
  <si>
    <t>PU</t>
  </si>
  <si>
    <t>Y</t>
  </si>
  <si>
    <t>CNTTYPE</t>
  </si>
  <si>
    <t>SMB</t>
  </si>
  <si>
    <t>MSB</t>
  </si>
  <si>
    <t>Output</t>
  </si>
  <si>
    <t>Input</t>
  </si>
  <si>
    <t>Col ref</t>
  </si>
  <si>
    <t>GLA Logic Dummy file with Input file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</si>
</sst>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6" sqref="A6"/>
    </sheetView>
  </sheetViews>
  <sheetFormatPr defaultRowHeight="14.5" x14ac:dyDescent="0.35"/>
  <cols>
    <col min="4" max="4" width="10.90625" bestFit="1" customWidth="1"/>
    <col min="5" max="5" width="11.90625" bestFit="1" customWidth="1"/>
    <col min="6" max="6" width="12" bestFit="1" customWidth="1"/>
    <col min="7" max="7" width="13.81640625" bestFit="1" customWidth="1"/>
    <col min="8" max="8" width="15.1796875" customWidth="1"/>
    <col min="9" max="9" width="14.90625" customWidth="1"/>
  </cols>
  <sheetData>
    <row r="1" spans="1:9" x14ac:dyDescent="0.35">
      <c r="A1" s="1" t="s">
        <v>23</v>
      </c>
    </row>
    <row r="2" spans="1:9" x14ac:dyDescent="0.35">
      <c r="A2" s="4"/>
      <c r="B2" s="2" t="s">
        <v>21</v>
      </c>
      <c r="C2" s="2"/>
      <c r="D2" s="2"/>
      <c r="E2" s="2"/>
      <c r="F2" s="2"/>
      <c r="G2" s="2"/>
      <c r="H2" s="3" t="s">
        <v>20</v>
      </c>
      <c r="I2" s="3"/>
    </row>
    <row r="3" spans="1:9" x14ac:dyDescent="0.35">
      <c r="A3" s="5" t="s">
        <v>22</v>
      </c>
      <c r="B3" s="5" t="s">
        <v>0</v>
      </c>
      <c r="C3" s="5" t="s">
        <v>16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5</v>
      </c>
      <c r="I3" s="6" t="s">
        <v>6</v>
      </c>
    </row>
    <row r="4" spans="1:9" ht="29" x14ac:dyDescent="0.35">
      <c r="A4" s="4"/>
      <c r="B4" s="5" t="s">
        <v>7</v>
      </c>
      <c r="C4" s="5" t="s">
        <v>17</v>
      </c>
      <c r="D4" s="5" t="s">
        <v>8</v>
      </c>
      <c r="E4" s="5" t="s">
        <v>9</v>
      </c>
      <c r="F4" s="5" t="s">
        <v>10</v>
      </c>
      <c r="G4" s="5" t="s">
        <v>11</v>
      </c>
      <c r="H4" s="7" t="s">
        <v>12</v>
      </c>
      <c r="I4" s="7" t="s">
        <v>13</v>
      </c>
    </row>
    <row r="5" spans="1:9" x14ac:dyDescent="0.35">
      <c r="A5" s="4">
        <v>1</v>
      </c>
      <c r="B5" s="4" t="s">
        <v>14</v>
      </c>
      <c r="C5" s="4" t="s">
        <v>18</v>
      </c>
      <c r="D5" s="4">
        <v>10</v>
      </c>
      <c r="E5" s="8">
        <v>46081</v>
      </c>
      <c r="F5" s="4">
        <v>112650</v>
      </c>
      <c r="G5" s="8">
        <v>46082</v>
      </c>
      <c r="H5" s="4">
        <f>G5-E5</f>
        <v>1</v>
      </c>
      <c r="I5" s="9">
        <f>IF(AND(B5="IF",OR(C5="MSB",C5="SMB")),(1%*F5*D5),0)</f>
        <v>11265</v>
      </c>
    </row>
    <row r="6" spans="1:9" x14ac:dyDescent="0.35">
      <c r="A6" s="4">
        <v>2</v>
      </c>
      <c r="B6" s="4" t="s">
        <v>15</v>
      </c>
      <c r="C6" s="4" t="s">
        <v>18</v>
      </c>
      <c r="D6" s="4">
        <v>10</v>
      </c>
      <c r="E6" s="8">
        <v>46081</v>
      </c>
      <c r="F6" s="4">
        <v>100000</v>
      </c>
      <c r="G6" s="8">
        <v>46082</v>
      </c>
      <c r="H6" s="4">
        <f t="shared" ref="H6:H9" si="0">G6-E6</f>
        <v>1</v>
      </c>
      <c r="I6" s="9">
        <f>IF(AND(B6="IF",OR(C6="MSB",C6="SMB")),(1%*F6*D6),0)</f>
        <v>0</v>
      </c>
    </row>
    <row r="7" spans="1:9" x14ac:dyDescent="0.35">
      <c r="A7" s="4">
        <v>3</v>
      </c>
      <c r="B7" s="4" t="s">
        <v>14</v>
      </c>
      <c r="C7" s="4" t="s">
        <v>18</v>
      </c>
      <c r="D7" s="4">
        <v>10</v>
      </c>
      <c r="E7" s="8">
        <v>46088</v>
      </c>
      <c r="F7" s="4">
        <v>187635</v>
      </c>
      <c r="G7" s="8">
        <v>46089</v>
      </c>
      <c r="H7" s="4">
        <f t="shared" si="0"/>
        <v>1</v>
      </c>
      <c r="I7" s="9">
        <f>IF(AND(B7="IF",OR(C7="MSB",C7="SMB")),(1%*F7*D7),0)</f>
        <v>18763.5</v>
      </c>
    </row>
    <row r="8" spans="1:9" x14ac:dyDescent="0.35">
      <c r="A8" s="4">
        <v>4</v>
      </c>
      <c r="B8" s="4" t="s">
        <v>14</v>
      </c>
      <c r="C8" s="4" t="s">
        <v>19</v>
      </c>
      <c r="D8" s="4">
        <v>5</v>
      </c>
      <c r="E8" s="8">
        <v>46091</v>
      </c>
      <c r="F8" s="4">
        <v>257422</v>
      </c>
      <c r="G8" s="8">
        <v>46092</v>
      </c>
      <c r="H8" s="4">
        <f t="shared" si="0"/>
        <v>1</v>
      </c>
      <c r="I8" s="9">
        <f>IF(AND(B8="IF",OR(C8="MSB",C8="SMB")),(1%*F8*D8),0)</f>
        <v>12871.100000000002</v>
      </c>
    </row>
    <row r="9" spans="1:9" x14ac:dyDescent="0.35">
      <c r="A9" s="4">
        <v>5</v>
      </c>
      <c r="B9" s="4" t="s">
        <v>14</v>
      </c>
      <c r="C9" s="4" t="s">
        <v>19</v>
      </c>
      <c r="D9" s="4">
        <v>5</v>
      </c>
      <c r="E9" s="8">
        <v>46091</v>
      </c>
      <c r="F9" s="4">
        <v>151515</v>
      </c>
      <c r="G9" s="8">
        <v>46092</v>
      </c>
      <c r="H9" s="4">
        <f t="shared" si="0"/>
        <v>1</v>
      </c>
      <c r="I9" s="9">
        <f>IF(AND(B9="IF",OR(C9="MSB",C9="SMB")),(1%*F9*D9),0)</f>
        <v>7575.75</v>
      </c>
    </row>
  </sheetData>
  <mergeCells count="2">
    <mergeCell ref="H2:I2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Bamble (IND)</dc:creator>
  <cp:lastModifiedBy>Nikhil Bamble (IND)</cp:lastModifiedBy>
  <dcterms:created xsi:type="dcterms:W3CDTF">2015-06-05T18:17:20Z</dcterms:created>
  <dcterms:modified xsi:type="dcterms:W3CDTF">2026-03-05T12:42:25Z</dcterms:modified>
</cp:coreProperties>
</file>